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04E029-3F39-43A6-A779-401D676DF31E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Матрица атрибутов" sheetId="1" r:id="rId1"/>
    <sheet name="Итоги и Топ-10" sheetId="2" r:id="rId2"/>
    <sheet name="Вопросы" sheetId="3" r:id="rId3"/>
  </sheets>
  <definedNames>
    <definedName name="_xlnm._FilterDatabase" localSheetId="0" hidden="1">'Матрица атрибутов'!$A$2:$K$47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2" l="1"/>
  <c r="C20" i="2"/>
  <c r="C19" i="2"/>
  <c r="C18" i="2"/>
  <c r="C17" i="2"/>
  <c r="C16" i="2"/>
  <c r="C22" i="2" s="1"/>
  <c r="C11" i="2"/>
  <c r="C10" i="2"/>
  <c r="C9" i="2"/>
  <c r="C8" i="2"/>
  <c r="C7" i="2"/>
  <c r="C6" i="2"/>
  <c r="C5" i="2"/>
  <c r="C12" i="2" s="1"/>
</calcChain>
</file>

<file path=xl/sharedStrings.xml><?xml version="1.0" encoding="utf-8"?>
<sst xmlns="http://schemas.openxmlformats.org/spreadsheetml/2006/main" count="459" uniqueCount="286">
  <si>
    <t>№</t>
  </si>
  <si>
    <t>Атрибут</t>
  </si>
  <si>
    <t>Источник данных</t>
  </si>
  <si>
    <t>Используется КМ</t>
  </si>
  <si>
    <t>Озвучивать клиенту?</t>
  </si>
  <si>
    <t>Как влияет на диалог (из встречи)</t>
  </si>
  <si>
    <t>Категория влияния</t>
  </si>
  <si>
    <t>Приоритет для пилота</t>
  </si>
  <si>
    <t>Гипотеза для теста</t>
  </si>
  <si>
    <t>Комментарий КМ / эксперта</t>
  </si>
  <si>
    <t>Брать в пилот: да / нет / позже</t>
  </si>
  <si>
    <t>История взаимодействия</t>
  </si>
  <si>
    <t>Карточка АИСТ / Справка ГигаЧат</t>
  </si>
  <si>
    <t>Да (основной)</t>
  </si>
  <si>
    <t>Да — факты / слова клиента, не оценки КМ</t>
  </si>
  <si>
    <t>Главный источник персонализации: прошлые отказы, «нет сотрудников», договорённости. Внутренние оценки КМ («негативный», «не звонить») робот НЕ произносит как есть — только в логику.</t>
  </si>
  <si>
    <t>Начало диалога</t>
  </si>
  <si>
    <t>Высокий</t>
  </si>
  <si>
    <t>Озвучивать только факты/слова клиента («ранее говорили, что сотрудников нет — появились?»); внутренние ярлыки — лишь для выбора сценария.</t>
  </si>
  <si>
    <t>Заметки / комментарии КМ</t>
  </si>
  <si>
    <t>Карточка АИСТ (Lab-зона)</t>
  </si>
  <si>
    <t>Только косвенно</t>
  </si>
  <si>
    <t>Что писал предыдущий КМ. Если стоит просто «+» — взять нечего (см. суммаризацию). Сам текст не зачитывается, но задаёт контекст.</t>
  </si>
  <si>
    <t>Качественный комментарий задаёт контекст и тон; пустые «+» бесполезны — нужен fallback на содержание звонка.</t>
  </si>
  <si>
    <t>Суммаризация / содержание звонка</t>
  </si>
  <si>
    <t>Запись / summary звонка</t>
  </si>
  <si>
    <t>Да (замена «+»)</t>
  </si>
  <si>
    <t>Если комментарий пустой/«+», смысл берётся из содержания звонка — можно зацепиться за реальные фразы.</t>
  </si>
  <si>
    <t>Средний</t>
  </si>
  <si>
    <t>Fallback-источник, когда заметка КМ неинформативна; повышает покрытие персонализации.</t>
  </si>
  <si>
    <t>Уровень доверия</t>
  </si>
  <si>
    <t>Справка ГигаЧат</t>
  </si>
  <si>
    <t>Да (расширение РКО)</t>
  </si>
  <si>
    <t>Нет — внутр. логика</t>
  </si>
  <si>
    <t>«Друг» → благодарим + доп.сервисы; «незнакомец» → аккуратно, без «я ваш персональный менеджер». ⚠ были ошибки в данных, уровни менялись.</t>
  </si>
  <si>
    <t>Высокий уровень → благодарность и развитие; слабый → осторожный заход. Цифру/уровень клиенту не называем — меняем тон.</t>
  </si>
  <si>
    <t>Фаза / этап сотрудничества (действующий / не клиент)</t>
  </si>
  <si>
    <t>Карточка / Справка</t>
  </si>
  <si>
    <t>Да (статус)</t>
  </si>
  <si>
    <t>Действующий vs неактивный («счёт открыт, год нет движений»); возможно «угасание». Пересекается с долей оборота.</t>
  </si>
  <si>
    <t>Статус отношений меняет вовлечение и уместность «персонального менеджера».</t>
  </si>
  <si>
    <t>Доля оборота в Сбере</t>
  </si>
  <si>
    <t>Да</t>
  </si>
  <si>
    <t>Насколько клиент реально работает со Сбером. Пересекается с уровнем доверия — Кристина: «оставила бы и то и то», но разница неочевидна.</t>
  </si>
  <si>
    <t>Характеризует плотность отношений (как уровень доверия); влияет на тон, напрямую не озвучивается.</t>
  </si>
  <si>
    <t>Риск / вероятность оттока</t>
  </si>
  <si>
    <t>Справка ГигаЧат («на что обратить внимание»)</t>
  </si>
  <si>
    <t>Да (фон)</t>
  </si>
  <si>
    <t>Действующий/недействующий, % оттока. Предиктивный сигнал (НЕ то же, что статус отношений).</t>
  </si>
  <si>
    <t>Высокий риск → удерживающий/выясняющий заход. ⚠ в разговоре освещён слабее остальных.</t>
  </si>
  <si>
    <t>Сегменты / статусы клиента</t>
  </si>
  <si>
    <t>Фон для решения: звонить ли и с каким тоном. В разговоре — фоном, без детального сценария.</t>
  </si>
  <si>
    <t>Сегмент/статус задаёт допустимый тон и продуктовый фокус.</t>
  </si>
  <si>
    <t>Обращения (ВСП / горячая линия)</t>
  </si>
  <si>
    <t>Нет — стоп/маршрутизация</t>
  </si>
  <si>
    <t>Частые/недавние обращения (значок «10 за день») → не продавать «в лоб», учитывать конфликтный контекст.</t>
  </si>
  <si>
    <t>Стоп-фактор / маршрутизация</t>
  </si>
  <si>
    <t>Много недавних обращений → сервисный/осторожный сценарий или перевод вместо продажи.</t>
  </si>
  <si>
    <t>Жалобы / негативные обращения</t>
  </si>
  <si>
    <t>Сильный стоп-фактор: лояльно-продажное начало вызовет негатив. Возможно убирать из витрины обзвона / сразу маршрутизировать.</t>
  </si>
  <si>
    <t>При жалобах ЦКМ переходит в сервис / перевод на оператора, не продаёт.</t>
  </si>
  <si>
    <t>Отрасль</t>
  </si>
  <si>
    <t>Витрина подготовки / Тегированная задача</t>
  </si>
  <si>
    <t>Отраслевое решение, сопутствующие продукты, value-аргументы (розница → эквайринг/аналитика). Часто приходит тегированной задачей.</t>
  </si>
  <si>
    <t>Аргументация</t>
  </si>
  <si>
    <t>Отрасль задаёт продуктовый заход и формулировку выгоды; влияет на курс продажи.</t>
  </si>
  <si>
    <t>Сфера деятельности</t>
  </si>
  <si>
    <t>Витрина подготовки</t>
  </si>
  <si>
    <t>Детальнее отрасли: ограничения/скидки/спецпредложения (детская одежда — скидка в эквайринге; некредитуемые сферы; вне «арки» нет аналитики).</t>
  </si>
  <si>
    <t>Сфера определяет доступность продукта/акции и уместность предложения внутри отрасли.</t>
  </si>
  <si>
    <t>Подключённые продукты клиента</t>
  </si>
  <si>
    <t>Карточка АИСТ</t>
  </si>
  <si>
    <t>После аутентификации</t>
  </si>
  <si>
    <t>Что уже есть / было / расторгнуто → что доуточнить и предложить. Говорить про конкретные продукты клиента — после аутентификации. (В топ-10 → «Продуктовый профиль».)</t>
  </si>
  <si>
    <t>Текущий продуктовый профиль убирает нерелевантные офферы и подсказывает кросс-продажу.</t>
  </si>
  <si>
    <t>Наличие / отсутствие продукта</t>
  </si>
  <si>
    <t>Нет продукта → сценарий продажи; был отказ / «нет сотрудников» → учитывать в заходе. (В топ-10 → «Продуктовый профиль».)</t>
  </si>
  <si>
    <t>Факт наличия/истории продукта переключает между продажей и реактивацией.</t>
  </si>
  <si>
    <t>Средний чек клиента</t>
  </si>
  <si>
    <t>Аналитика / Задача</t>
  </si>
  <si>
    <t>Условно (эквайринг, тарифы)</t>
  </si>
  <si>
    <t>После аутентификации / косвенно</t>
  </si>
  <si>
    <t>Для зарплатного — не нужен. Для эквайринга — расчёт тарифа; в аналитике — сравнение с похожими клиентами. Раскрытие цифры — после аутентификации.</t>
  </si>
  <si>
    <t>В тег./аналитических сценариях — «у вас ниже среднего по отрасли» без раскрытия цифры (косвенно).</t>
  </si>
  <si>
    <t>Возвращаемость покупателей</t>
  </si>
  <si>
    <t>Тегированная задача (напр. ребейс/рестораны)</t>
  </si>
  <si>
    <t>Да (в кампаниях)</t>
  </si>
  <si>
    <t>Да — без персональных</t>
  </si>
  <si>
    <t>«Возвращаемость выше конкурентов на X%» → предложить сервис автоматизации. Безличная формулировка.</t>
  </si>
  <si>
    <t>Работает только в тегированной кампании; персональные данные не раскрываются.</t>
  </si>
  <si>
    <t>Банк-конкурент</t>
  </si>
  <si>
    <t>Справка / Витрина</t>
  </si>
  <si>
    <t>Косвенно</t>
  </si>
  <si>
    <t>Напрямую называть НЕЛЬЗЯ (слив данных, риск суда). Готовить сравнение условий (Сбер Скан). Прямо — только если клиент сам сказал и это в истории.</t>
  </si>
  <si>
    <t>Косвенная подготовка оффера; явная ссылка — только из истории взаимодействия.</t>
  </si>
  <si>
    <t>Доля банка-конкурента</t>
  </si>
  <si>
    <t>Справка / Задача</t>
  </si>
  <si>
    <t>Обсуждалась отдельно от «банк-конкурент»: понять, сколько денег у конкурента, для сравнения.</t>
  </si>
  <si>
    <t>Подумать / уточнить</t>
  </si>
  <si>
    <t>Как и банк-конкурент — косвенно; ценность для речи под вопросом.</t>
  </si>
  <si>
    <t>Конкурент по продукту (ПТ)</t>
  </si>
  <si>
    <t>Задача (атрибутный состав)</t>
  </si>
  <si>
    <t>Отдельно от «банк-конкурента» (банк, где открыт счёт): конкурент по конкретному продукту. «Хорошо бы знать», если ЦКМ сможет сравнить условия (Сбер Скан).</t>
  </si>
  <si>
    <t>Косвенная подготовка сравнения по конкретному продукту; напрямую не называется. Источник/назначение уточнить.</t>
  </si>
  <si>
    <t>Средний чек конкурента</t>
  </si>
  <si>
    <t>Витрина (?) / Сбер Скан</t>
  </si>
  <si>
    <t>Неясно</t>
  </si>
  <si>
    <t>Возможно сравнение «у вас vs в банке X». Применение не подтверждено — уточнить у владельца витрины.</t>
  </si>
  <si>
    <t>Сравнительный аргумент; требует подтверждения источника и допустимости.</t>
  </si>
  <si>
    <t>Выручка конкурента (сравнение «у клиента выше на X%»)</t>
  </si>
  <si>
    <t>Тегированная задача</t>
  </si>
  <si>
    <t>Условно</t>
  </si>
  <si>
    <t>Сравнение выручки клиента с конкурентами: «выручка у клиента выше на X% за период». Только в тегированных кампаниях.</t>
  </si>
  <si>
    <t>Допустимо только в тег. кампаниях, без персональных данных.</t>
  </si>
  <si>
    <t>Дата регистрации организации</t>
  </si>
  <si>
    <t>Да (часть продуктов)</t>
  </si>
  <si>
    <t>Нет — фильтр</t>
  </si>
  <si>
    <t>Срок деятельности → доступность кредита/овердрафта (от 3/6/12 мес). Для эквайринга неважно.</t>
  </si>
  <si>
    <t>Ограничение/расчёт продукта</t>
  </si>
  <si>
    <t>Низкий</t>
  </si>
  <si>
    <t>Гейтинг продуктов по сроку; влияет на доступность оффера, не на формулировку.</t>
  </si>
  <si>
    <t>Резидент / нерезидент</t>
  </si>
  <si>
    <t>Да (ограничения)</t>
  </si>
  <si>
    <t>Кредит нерезиденту нельзя; ограничения по бизнес-картам.</t>
  </si>
  <si>
    <t>Фильтр допустимых продуктов перед звонком.</t>
  </si>
  <si>
    <t>Количество платежей в пользу ЮЛ</t>
  </si>
  <si>
    <t>Витрина / Сбер Скан</t>
  </si>
  <si>
    <t>Да (РКО/тарифы)</t>
  </si>
  <si>
    <t>Подбор тарифа РКО, расчёт пакета; учесть гибкую подписку. ⚠ данные не покрывают другие банки.</t>
  </si>
  <si>
    <t>Нужен, если ЦКМ считает тариф в диалоге. Осторожно с гибкой подпиской (риск потерь).</t>
  </si>
  <si>
    <t>Объём поступлений / выручки с маркетплейса</t>
  </si>
  <si>
    <t>Витрина</t>
  </si>
  <si>
    <t>Да (сейлеры)</t>
  </si>
  <si>
    <t>Подбор тарифа и опций для сейлеров.</t>
  </si>
  <si>
    <t>Прикладной для МП-тарифов; вне маркетплейсов не нужен.</t>
  </si>
  <si>
    <t>Выручка клиента</t>
  </si>
  <si>
    <t>Спорно</t>
  </si>
  <si>
    <t>Возможно для кредитования / e-com / пакетов сейлеров. КМ глубоко не анализирует.</t>
  </si>
  <si>
    <t>Скорее для расчёта/одобрения, чем для диалога — пометить «подумать».</t>
  </si>
  <si>
    <t>Объём поступлений</t>
  </si>
  <si>
    <t>Редко</t>
  </si>
  <si>
    <t>«Для понимания, как работать»; сейчас почти не используется без задачи.</t>
  </si>
  <si>
    <t>Фон; в речь не выносится без задачи.</t>
  </si>
  <si>
    <t>Дата расчёта витрины / актуальность данных</t>
  </si>
  <si>
    <t>Технически</t>
  </si>
  <si>
    <t>Нет — технический</t>
  </si>
  <si>
    <t>На фразу напрямую не влияет, но определяет, можно ли использовать аргумент (за какой период данные).</t>
  </si>
  <si>
    <t>Технический / идентификатор</t>
  </si>
  <si>
    <t>Технический</t>
  </si>
  <si>
    <t>Гейт допустимости аргумента, а не контент речи.</t>
  </si>
  <si>
    <t>EPK ID</t>
  </si>
  <si>
    <t>Технический ключ</t>
  </si>
  <si>
    <t>Ключ для подтягивания истории/комментариев по клиенту, не атрибут речи.</t>
  </si>
  <si>
    <t>Инфраструктура доступа к истории; в диалог не идёт.</t>
  </si>
  <si>
    <t>ИНН / КПП</t>
  </si>
  <si>
    <t>Справочные данные</t>
  </si>
  <si>
    <t>Нет (в речи)</t>
  </si>
  <si>
    <t>«Просто звоним, какая нам разница». Идентификация/справка.</t>
  </si>
  <si>
    <t>Не контент диалога; служебные данные.</t>
  </si>
  <si>
    <t>ОГРН организации</t>
  </si>
  <si>
    <t>Почти нет</t>
  </si>
  <si>
    <t>Раньше — идентификация / заведение новой организации; сейчас неочевидно.</t>
  </si>
  <si>
    <t>Не брать</t>
  </si>
  <si>
    <t>Низкий приоритет; уточнить, нужен ли вообще.</t>
  </si>
  <si>
    <t>Полное наименование организации (название компании)</t>
  </si>
  <si>
    <t>Карточка / Витрина</t>
  </si>
  <si>
    <t>КМ видит</t>
  </si>
  <si>
    <t>Да — идентификация</t>
  </si>
  <si>
    <t>Для продажной аргументации ценность низкая (ООО «Ромашка» — без разницы). Но может работать в приветствии/идентификации.</t>
  </si>
  <si>
    <t>Не аргументация, а доверие в начале: «звоню по обслуживанию ООО …». Проверить — повышает доверие или звучит формально/роботизированно.</t>
  </si>
  <si>
    <t>Короткая расшифровка ОПФ/КПФ</t>
  </si>
  <si>
    <t>Другая витрина</t>
  </si>
  <si>
    <t>Применение в диалоге непонятно.</t>
  </si>
  <si>
    <t>Под вопросом; вероятно не нужен.</t>
  </si>
  <si>
    <t>Уровень иерархии / класс деятельности</t>
  </si>
  <si>
    <t>Нет (иерархия)</t>
  </si>
  <si>
    <t>Нет — не использовать</t>
  </si>
  <si>
    <t>Пересекается с отраслью/сферой; уровень иерархии не нужен.</t>
  </si>
  <si>
    <t>Дубликат отрасли; иерархию исключить.</t>
  </si>
  <si>
    <t>Юридический / фактический адрес</t>
  </si>
  <si>
    <t>Витрина / Карточка</t>
  </si>
  <si>
    <t>Редко (сервис)</t>
  </si>
  <si>
    <t>В продаже не нужен; полезен для выезда инженера, установки терминала, поиска ВСП. Фактическое местонахождение не знаем.</t>
  </si>
  <si>
    <t>Сервисные сценарии, не продажа.</t>
  </si>
  <si>
    <t>Телефон приёмной / рабочий</t>
  </si>
  <si>
    <t>Низко</t>
  </si>
  <si>
    <t>Приоритет ниже номеров СБОЛ; в малом бизнесе приёмной часто нет.</t>
  </si>
  <si>
    <t>Резервный канал дозвона; на контент не влияет.</t>
  </si>
  <si>
    <t>Уникальное количество покупателей клиента</t>
  </si>
  <si>
    <t>Витрина / калькулятор</t>
  </si>
  <si>
    <t>Условно (тег. кампании)</t>
  </si>
  <si>
    <t>Прямой оценкой Кристина пользы не видела (средний чек информативнее). НО в тег. кампании звучит «уникальных клиентов на 25% больше, чем у конкурентов» — там полезно.</t>
  </si>
  <si>
    <t>Только для тегированных кампаний (сравнение с конкурентами), без персональных; вне кампаний — средний чек предпочтительнее.</t>
  </si>
  <si>
    <t>Уникальное количество покупателей конкурента</t>
  </si>
  <si>
    <t>База сравнения в тег. кампании («у вас уникальных клиентов больше, чем у конкурентов на X%»).</t>
  </si>
  <si>
    <t>Только как сравнительный аргумент в тегированных кампаниях.</t>
  </si>
  <si>
    <t>Страна / страна основания</t>
  </si>
  <si>
    <t>Узко</t>
  </si>
  <si>
    <t>ВЭД или узкоограниченные продукты.</t>
  </si>
  <si>
    <t>Не в речи / не нужно</t>
  </si>
  <si>
    <t>Нишевой фильтр; вне ВЭД не нужен.</t>
  </si>
  <si>
    <t>Сумма капитала / вид капитала</t>
  </si>
  <si>
    <t>Нет (КМ)</t>
  </si>
  <si>
    <t>Финансовый/аналитический анализ, не сценарий ЦКМ.</t>
  </si>
  <si>
    <t>Вне зоны КМ; не для диалога.</t>
  </si>
  <si>
    <t>Подозрительные проверки</t>
  </si>
  <si>
    <t>Нет</t>
  </si>
  <si>
    <t>Если клиент заблокирован/подозрителен (ПОД-ФТ) — система не должна давать звонить.</t>
  </si>
  <si>
    <t>Не контент; фильтр/запрет звонка на входе.</t>
  </si>
  <si>
    <t>ИНН главного / гендиректора</t>
  </si>
  <si>
    <t>Не нужен для диалога.</t>
  </si>
  <si>
    <t>Нерелевантно диалогу.</t>
  </si>
  <si>
    <t>Сумма сделок за текущий год</t>
  </si>
  <si>
    <t>Финанализ (одобрение кредита), КМ так не анализирует.</t>
  </si>
  <si>
    <t>Вне зоны КМ.</t>
  </si>
  <si>
    <t>Типаж клиента (аналитик / не аналитик)</t>
  </si>
  <si>
    <t>Модель / ГигаЧат (раньше)</t>
  </si>
  <si>
    <t>Редко КМ</t>
  </si>
  <si>
    <t>С «аналитиком» — рациональнее/короче. Модель может предсказывать тип. КМ почти не пользуются.</t>
  </si>
  <si>
    <t>Таргетинг пилота</t>
  </si>
  <si>
    <t>Скорее выбор стиля + сегмент для пилота, чем обязательный атрибут речи.</t>
  </si>
  <si>
    <t>Предпочтение канала / склонность к чату / нелюбовь к общению</t>
  </si>
  <si>
    <t>Идея / модель</t>
  </si>
  <si>
    <t>— (новое)</t>
  </si>
  <si>
    <t>Начать пилот с тех, кто не любит говорить с человеком, пишет в чат, сам не звонит. (Если не дозваниваемся — и от робота не возьмут.)</t>
  </si>
  <si>
    <t>Не атрибут речи, а критерий отбора первой выборки для теста.</t>
  </si>
  <si>
    <t>Итоги, топ-10 и стоп-факторы</t>
  </si>
  <si>
    <t>⚠ Топ-10, приоритеты и категории — редакторская сборка по итогам встречи (включая добавленные гипотезы, напр. «Организация»), а не дословные решения участников. Финальный отбор — за экспертом.</t>
  </si>
  <si>
    <t>Распределение по категориям влияния</t>
  </si>
  <si>
    <t>Категория</t>
  </si>
  <si>
    <t>Кол-во</t>
  </si>
  <si>
    <t>Итого</t>
  </si>
  <si>
    <t>Распределение по приоритету для пилота</t>
  </si>
  <si>
    <t>Приоритет</t>
  </si>
  <si>
    <t>Рекомендованный топ-10 для пилота (зарплатный проект)</t>
  </si>
  <si>
    <t>Почему в топ-10</t>
  </si>
  <si>
    <t>Главный источник персонализации — задаёт весь первый заход.</t>
  </si>
  <si>
    <t>Заметки / комментарии КМ (+ суммаризация как fallback)</t>
  </si>
  <si>
    <t>Текстовый контекст по клиенту; при «+» берём смысл из содержания звонка.</t>
  </si>
  <si>
    <t>«Друг» vs «незнакомец» → тон и уместность «персонального менеджера».</t>
  </si>
  <si>
    <t>Стоп-факторы: жалобы / частые обращения / негатив</t>
  </si>
  <si>
    <t>Не продавать «в лоб»: сервис / перевод / убрать из витрины обзвона.</t>
  </si>
  <si>
    <t>Продуктовый профиль клиента (есть/нет, был ранее, расторгнут, подключённые)</t>
  </si>
  <si>
    <t>Объединяет «наличие продукта» и «подключённые»: продажа vs реактивация vs кросс-продажа.</t>
  </si>
  <si>
    <t>Продуктовый заход и формулировка выгоды (тегированные задачи).</t>
  </si>
  <si>
    <t>Доступность продукта/скидок и уместность предложения.</t>
  </si>
  <si>
    <t>Статус / фаза сотрудничества</t>
  </si>
  <si>
    <t>Действующий vs угасающий → разное вовлечение (отдельно от риска оттока).</t>
  </si>
  <si>
    <t>Риск оттока — отдельный предиктивный сигнал</t>
  </si>
  <si>
    <t>Может запускать удерживающий сценарий. ⚠ в разговоре освещён слабее остальных.</t>
  </si>
  <si>
    <t>Организация / название компании (тест приветствия)</t>
  </si>
  <si>
    <t>Экспериментальный слот: тест приветствия/идентификации, не продажная аргументация (поэтому в матрице приоритет «подумать»). Гипотеза: повышает доверие либо звучит роботизированно.</t>
  </si>
  <si>
    <t>Стоп-факторы звонка (до / во время — не контент продажи)</t>
  </si>
  <si>
    <t>Жалобы / сильный негатив</t>
  </si>
  <si>
    <t>Не продавать; сервисный сценарий или перевод на оператора.</t>
  </si>
  <si>
    <t>Частые / недавние обращения (ВСП, горячая линия)</t>
  </si>
  <si>
    <t>Осторожно; возможно убрать клиента из витрины обзвона.</t>
  </si>
  <si>
    <t>Подозрительные проверки / блокировка (ПОД-ФТ)</t>
  </si>
  <si>
    <t>Не звонить — фильтр системы на входе.</t>
  </si>
  <si>
    <t>Просьба «оператор»</t>
  </si>
  <si>
    <t>Сразу перевод, не зацикливать (названо базовым требованием).</t>
  </si>
  <si>
    <t>Пустая карточка (нет истории)</t>
  </si>
  <si>
    <t>Универсальный шаблон по умолчанию (Константин).</t>
  </si>
  <si>
    <t>Обязательные проверки перед использованием атрибутов (не контент диалога)</t>
  </si>
  <si>
    <t>Дата актуальности витрины</t>
  </si>
  <si>
    <t>За какой период данные (возвращаемость/выручка/чек) — иначе аргумент устарел.</t>
  </si>
  <si>
    <t>Аутентификация клиента</t>
  </si>
  <si>
    <t>Обязательна перед озвучиванием чувствительных атрибутов (чек, обороты, продукты, выручка).</t>
  </si>
  <si>
    <t>Качество / ошибки данных</t>
  </si>
  <si>
    <t>Уровень доверия мог быть отражён неверно; платежи не покрывают другие банки.</t>
  </si>
  <si>
    <t>Фильтры подавления звонка</t>
  </si>
  <si>
    <t>Блокировка / ПОД-ФТ / жалобы — не звонить или маршрутизировать (см. стоп-факторы).</t>
  </si>
  <si>
    <t>Организация / название компании в топ-10 стоит как тест ПРИВЕТСТВИЯ/идентификации, а не продажной аргументации: гипотеза — фраза «звоню по обслуживанию ООО …» повышает доверие либо звучит роботизированно. Не путать с продуктовой аргументацией.</t>
  </si>
  <si>
    <t>Пилот сейчас (зарплатный проект): атрибуты Высокий/Средний из «начало диалога» и «аргументация». Кластер средний чек / возвращаемость / выручка / обороты / маркетплейс — для ТЕГИРОВАННЫХ кампаний и ДРУГИХ продуктов (эквайринг, РКО, сейлеры), не для текущего пилота.</t>
  </si>
  <si>
    <t>•</t>
  </si>
  <si>
    <t>Открытые вопросы из встречи (решить / уточнить)</t>
  </si>
  <si>
    <t>Как ЦКМ поймёт, можно ли ОЗВУЧИВАТЬ атрибут без аутентификации? КМ видит аналитику «глазами клиента» по СБОЛ; ЦКМ — нет. Ключ для среднего чека / аналитики / банка-конкурента. (Теперь отражено в колонке «Озвучивать клиенту?».)</t>
  </si>
  <si>
    <t>Качество данных и сверка с моделистами — 2-м этапом проверить качество и состав.</t>
  </si>
  <si>
    <t>Уточнить у владельцев витрин: средний чек конкурента, выручка, объём поступлений, ОПФ/КПФ, конкурент ПТ.</t>
  </si>
  <si>
    <t>Сценарий при жалобах/негативе: убирать из витрины / маршрутизировать / не продавать (задача может быть выставлена — клиент не заблокирован).</t>
  </si>
  <si>
    <t>«Оператор» с первого раза — сразу переводить, не зацикливать.</t>
  </si>
  <si>
    <t>Пустая карточка → универсальный шаблон по умолчанию.</t>
  </si>
  <si>
    <t>⚠ Риск ошибки данных: уровень доверия (были ошибки/менялись уровни); платежи не покрывают другие банки; данные витрины за прошлый период.</t>
  </si>
  <si>
    <t>Старт пилота: сегмент «не любят разговаривать / пишут в чат / сами не звонят» — но при низком дозвоне они и от робота не возьмут (нужен корректный триггер).</t>
  </si>
  <si>
    <t>Атрибуты для ЦКМ — влияние на диалог</t>
  </si>
  <si>
    <t>Открытые вопросы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</si>
</sst>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006100"/>
      <name val="Arial"/>
      <charset val="1"/>
    </font>
    <font>
      <b/>
      <sz val="10"/>
      <color rgb="FF333333"/>
      <name val="Arial"/>
      <charset val="1"/>
    </font>
    <font>
      <b/>
      <sz val="10"/>
      <color rgb="FF9C6500"/>
      <name val="Arial"/>
      <charset val="1"/>
    </font>
    <font>
      <b/>
      <sz val="10"/>
      <color rgb="FF7F7F7F"/>
      <name val="Arial"/>
      <charset val="1"/>
    </font>
    <font>
      <b/>
      <sz val="10"/>
      <color rgb="FF9C0006"/>
      <name val="Arial"/>
      <charset val="1"/>
    </font>
    <font>
      <b/>
      <sz val="10"/>
      <color rgb="FF2F5496"/>
      <name val="Arial"/>
      <charset val="1"/>
    </font>
    <font>
      <b/>
      <sz val="10"/>
      <color rgb="FF833C00"/>
      <name val="Arial"/>
      <charset val="1"/>
    </font>
    <font>
      <b/>
      <sz val="10"/>
      <color rgb="FF44546A"/>
      <name val="Arial"/>
      <charset val="1"/>
    </font>
    <font>
      <b/>
      <sz val="13"/>
      <color rgb="FFFFFFFF"/>
      <name val="Arial"/>
      <charset val="1"/>
    </font>
    <font>
      <i/>
      <sz val="10"/>
      <color rgb="FF9C5700"/>
      <name val="Arial"/>
      <charset val="1"/>
    </font>
    <font>
      <b/>
      <sz val="11"/>
      <color rgb="FF1F4E78"/>
      <name val="Arial"/>
      <charset val="1"/>
    </font>
    <font>
      <b/>
      <sz val="11"/>
      <name val="Arial"/>
      <charset val="1"/>
    </font>
    <font>
      <i/>
      <sz val="10"/>
      <color rgb="FF555555"/>
      <name val="Arial"/>
      <charset val="1"/>
    </font>
    <font>
      <b/>
      <sz val="10"/>
      <color rgb="FF1F4E78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8"/>
        <bgColor rgb="FF2F5496"/>
      </patternFill>
    </fill>
    <fill>
      <patternFill patternType="solid">
        <fgColor rgb="FF2E5C94"/>
        <bgColor rgb="FF2F5496"/>
      </patternFill>
    </fill>
    <fill>
      <patternFill patternType="solid">
        <fgColor rgb="FFC6EFCE"/>
        <bgColor rgb="FFC6E0B4"/>
      </patternFill>
    </fill>
    <fill>
      <patternFill patternType="solid">
        <fgColor rgb="FFC6E0B4"/>
        <bgColor rgb="FFC6EFCE"/>
      </patternFill>
    </fill>
    <fill>
      <patternFill patternType="solid">
        <fgColor rgb="FFFFF9D6"/>
        <bgColor rgb="FFFFF2CC"/>
      </patternFill>
    </fill>
    <fill>
      <patternFill patternType="solid">
        <fgColor rgb="FFFFEB9C"/>
        <bgColor rgb="FFFFE699"/>
      </patternFill>
    </fill>
    <fill>
      <patternFill patternType="solid">
        <fgColor rgb="FFF2F2F2"/>
        <bgColor rgb="FFE7ECF2"/>
      </patternFill>
    </fill>
    <fill>
      <patternFill patternType="solid">
        <fgColor rgb="FFFFC7CE"/>
        <bgColor rgb="FFF8CBAD"/>
      </patternFill>
    </fill>
    <fill>
      <patternFill patternType="solid">
        <fgColor rgb="FFBDD7EE"/>
        <bgColor rgb="FFD6DCE4"/>
      </patternFill>
    </fill>
    <fill>
      <patternFill patternType="solid">
        <fgColor rgb="FFDDEBF7"/>
        <bgColor rgb="FFE7ECF2"/>
      </patternFill>
    </fill>
    <fill>
      <patternFill patternType="solid">
        <fgColor rgb="FFFFE699"/>
        <bgColor rgb="FFFFEB9C"/>
      </patternFill>
    </fill>
    <fill>
      <patternFill patternType="solid">
        <fgColor rgb="FFFCE4D6"/>
        <bgColor rgb="FFFDE9EA"/>
      </patternFill>
    </fill>
    <fill>
      <patternFill patternType="solid">
        <fgColor rgb="FFD9D9D9"/>
        <bgColor rgb="FFD6DCE4"/>
      </patternFill>
    </fill>
    <fill>
      <patternFill patternType="solid">
        <fgColor rgb="FFD6DCE4"/>
        <bgColor rgb="FFD9D9D9"/>
      </patternFill>
    </fill>
    <fill>
      <patternFill patternType="solid">
        <fgColor rgb="FFF8CBAD"/>
        <bgColor rgb="FFFFC7CE"/>
      </patternFill>
    </fill>
    <fill>
      <patternFill patternType="solid">
        <fgColor rgb="FFE1D5E7"/>
        <bgColor rgb="FFD9D9D9"/>
      </patternFill>
    </fill>
    <fill>
      <patternFill patternType="solid">
        <fgColor rgb="FFFDE9EA"/>
        <bgColor rgb="FFFCE4D6"/>
      </patternFill>
    </fill>
    <fill>
      <patternFill patternType="solid">
        <fgColor rgb="FFE7ECF2"/>
        <bgColor rgb="FFDDEBF7"/>
      </patternFill>
    </fill>
    <fill>
      <patternFill patternType="solid">
        <fgColor rgb="FFFFF2CC"/>
        <bgColor rgb="FFFFF9D6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16" fillId="11" borderId="0" xfId="0" applyFont="1" applyFill="1"/>
    <xf numFmtId="0" fontId="6" fillId="5" borderId="1" xfId="0" applyFont="1" applyFill="1" applyBorder="1"/>
    <xf numFmtId="0" fontId="3" fillId="0" borderId="1" xfId="0" applyFont="1" applyBorder="1" applyAlignment="1">
      <alignment horizontal="center"/>
    </xf>
    <xf numFmtId="0" fontId="6" fillId="10" borderId="1" xfId="0" applyFont="1" applyFill="1" applyBorder="1"/>
    <xf numFmtId="0" fontId="6" fillId="12" borderId="1" xfId="0" applyFont="1" applyFill="1" applyBorder="1"/>
    <xf numFmtId="0" fontId="6" fillId="9" borderId="1" xfId="0" applyFont="1" applyFill="1" applyBorder="1"/>
    <xf numFmtId="0" fontId="6" fillId="14" borderId="1" xfId="0" applyFont="1" applyFill="1" applyBorder="1"/>
    <xf numFmtId="0" fontId="6" fillId="16" borderId="1" xfId="0" applyFont="1" applyFill="1" applyBorder="1"/>
    <xf numFmtId="0" fontId="6" fillId="17" borderId="1" xfId="0" applyFont="1" applyFill="1" applyBorder="1"/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5" fillId="4" borderId="1" xfId="0" applyFont="1" applyFill="1" applyBorder="1"/>
    <xf numFmtId="0" fontId="7" fillId="7" borderId="1" xfId="0" applyFont="1" applyFill="1" applyBorder="1"/>
    <xf numFmtId="0" fontId="11" fillId="13" borderId="1" xfId="0" applyFont="1" applyFill="1" applyBorder="1"/>
    <xf numFmtId="0" fontId="8" fillId="8" borderId="1" xfId="0" applyFont="1" applyFill="1" applyBorder="1"/>
    <xf numFmtId="0" fontId="10" fillId="11" borderId="1" xfId="0" applyFont="1" applyFill="1" applyBorder="1"/>
    <xf numFmtId="0" fontId="12" fillId="15" borderId="1" xfId="0" applyFont="1" applyFill="1" applyBorder="1"/>
    <xf numFmtId="0" fontId="16" fillId="4" borderId="1" xfId="0" applyFont="1" applyFill="1" applyBorder="1"/>
    <xf numFmtId="0" fontId="4" fillId="0" borderId="1" xfId="0" applyFont="1" applyBorder="1" applyAlignment="1">
      <alignment vertical="center" wrapText="1"/>
    </xf>
    <xf numFmtId="0" fontId="4" fillId="18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1" fillId="2" borderId="0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vertical="center" wrapText="1"/>
    </xf>
    <xf numFmtId="0" fontId="17" fillId="0" borderId="0" xfId="0" applyFont="1" applyBorder="1" applyAlignment="1">
      <alignment vertical="top" wrapText="1"/>
    </xf>
    <xf numFmtId="0" fontId="15" fillId="15" borderId="0" xfId="0" applyFont="1" applyFill="1" applyBorder="1" applyAlignment="1">
      <alignment horizontal="left" vertical="center"/>
    </xf>
    <xf numFmtId="0" fontId="15" fillId="9" borderId="0" xfId="0" applyFont="1" applyFill="1" applyBorder="1" applyAlignment="1">
      <alignment horizontal="left" vertical="center"/>
    </xf>
    <xf numFmtId="0" fontId="16" fillId="4" borderId="1" xfId="0" applyFont="1" applyFill="1" applyBorder="1"/>
    <xf numFmtId="0" fontId="13" fillId="2" borderId="0" xfId="0" applyFont="1" applyFill="1" applyBorder="1" applyAlignment="1">
      <alignment horizontal="left" vertical="center" indent="1"/>
    </xf>
    <xf numFmtId="0" fontId="14" fillId="0" borderId="0" xfId="0" applyFont="1" applyBorder="1" applyAlignment="1">
      <alignment vertical="center" wrapText="1"/>
    </xf>
    <xf numFmtId="0" fontId="15" fillId="0" borderId="0" xfId="0" applyFont="1" applyBorder="1" applyAlignment="1">
      <alignment horizontal="left" vertical="center"/>
    </xf>
    <xf numFmtId="0" fontId="15" fillId="4" borderId="0" xfId="0" applyFont="1" applyFill="1" applyBorder="1" applyAlignment="1">
      <alignment horizontal="left" vertical="center"/>
    </xf>
    <xf numFmtId="0" fontId="18" fillId="20" borderId="0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C0CC"/>
      <rgbColor rgb="FF7F7F7F"/>
      <rgbColor rgb="FFD9D9D9"/>
      <rgbColor rgb="FF9C5700"/>
      <rgbColor rgb="FFFFF9D6"/>
      <rgbColor rgb="FFDDEBF7"/>
      <rgbColor rgb="FF660066"/>
      <rgbColor rgb="FFFDE9EA"/>
      <rgbColor rgb="FF2E5C94"/>
      <rgbColor rgb="FFBDD7EE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6DCE4"/>
      <rgbColor rgb="FFFFC7CE"/>
      <rgbColor rgb="FFE1D5E7"/>
      <rgbColor rgb="FFF8CBAD"/>
      <rgbColor rgb="FF3366FF"/>
      <rgbColor rgb="FF33CCCC"/>
      <rgbColor rgb="FFE7ECF2"/>
      <rgbColor rgb="FFFCE4D6"/>
      <rgbColor rgb="FFF2F2F2"/>
      <rgbColor rgb="FFFF6600"/>
      <rgbColor rgb="FF555555"/>
      <rgbColor rgb="FFC6E0B4"/>
      <rgbColor rgb="FF1F4E78"/>
      <rgbColor rgb="FF339966"/>
      <rgbColor rgb="FF003300"/>
      <rgbColor rgb="FF44546A"/>
      <rgbColor rgb="FF833C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ColWidth="8.6640625" defaultRowHeight="14.4" x14ac:dyDescent="0.3"/>
  <cols>
    <col min="1" max="1" width="5" customWidth="1"/>
    <col min="2" max="2" width="30" customWidth="1"/>
    <col min="3" max="3" width="18" customWidth="1"/>
    <col min="4" max="4" width="14" customWidth="1"/>
    <col min="5" max="5" width="22" customWidth="1"/>
    <col min="6" max="6" width="44" customWidth="1"/>
    <col min="7" max="7" width="20" customWidth="1"/>
    <col min="8" max="8" width="15" customWidth="1"/>
    <col min="9" max="9" width="38" customWidth="1"/>
    <col min="10" max="10" width="24" customWidth="1"/>
    <col min="11" max="11" width="16" customWidth="1"/>
  </cols>
  <sheetData>
    <row r="1" spans="1:11" ht="30" customHeight="1" x14ac:dyDescent="0.3">
      <c r="A1" s="47" t="s">
        <v>284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33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78.75" customHeight="1" x14ac:dyDescent="0.3">
      <c r="A3" s="2">
        <v>1</v>
      </c>
      <c r="B3" s="3" t="s">
        <v>11</v>
      </c>
      <c r="C3" s="4" t="s">
        <v>12</v>
      </c>
      <c r="D3" s="4" t="s">
        <v>13</v>
      </c>
      <c r="E3" s="5" t="s">
        <v>14</v>
      </c>
      <c r="F3" s="6" t="s">
        <v>15</v>
      </c>
      <c r="G3" s="7" t="s">
        <v>16</v>
      </c>
      <c r="H3" s="8" t="s">
        <v>17</v>
      </c>
      <c r="I3" s="6" t="s">
        <v>18</v>
      </c>
      <c r="J3" s="9"/>
      <c r="K3" s="9"/>
    </row>
    <row r="4" spans="1:11" ht="63.75" customHeight="1" x14ac:dyDescent="0.3">
      <c r="A4" s="2">
        <v>2</v>
      </c>
      <c r="B4" s="3" t="s">
        <v>19</v>
      </c>
      <c r="C4" s="4" t="s">
        <v>20</v>
      </c>
      <c r="D4" s="4" t="s">
        <v>13</v>
      </c>
      <c r="E4" s="10" t="s">
        <v>21</v>
      </c>
      <c r="F4" s="6" t="s">
        <v>22</v>
      </c>
      <c r="G4" s="7" t="s">
        <v>16</v>
      </c>
      <c r="H4" s="8" t="s">
        <v>17</v>
      </c>
      <c r="I4" s="6" t="s">
        <v>23</v>
      </c>
      <c r="J4" s="9"/>
      <c r="K4" s="9"/>
    </row>
    <row r="5" spans="1:11" ht="48.75" customHeight="1" x14ac:dyDescent="0.3">
      <c r="A5" s="2">
        <v>3</v>
      </c>
      <c r="B5" s="3" t="s">
        <v>24</v>
      </c>
      <c r="C5" s="4" t="s">
        <v>25</v>
      </c>
      <c r="D5" s="4" t="s">
        <v>26</v>
      </c>
      <c r="E5" s="10" t="s">
        <v>21</v>
      </c>
      <c r="F5" s="6" t="s">
        <v>27</v>
      </c>
      <c r="G5" s="7" t="s">
        <v>16</v>
      </c>
      <c r="H5" s="11" t="s">
        <v>28</v>
      </c>
      <c r="I5" s="6" t="s">
        <v>29</v>
      </c>
      <c r="J5" s="9"/>
      <c r="K5" s="9"/>
    </row>
    <row r="6" spans="1:11" ht="63.75" customHeight="1" x14ac:dyDescent="0.3">
      <c r="A6" s="2">
        <v>4</v>
      </c>
      <c r="B6" s="3" t="s">
        <v>30</v>
      </c>
      <c r="C6" s="4" t="s">
        <v>31</v>
      </c>
      <c r="D6" s="4" t="s">
        <v>32</v>
      </c>
      <c r="E6" s="12" t="s">
        <v>33</v>
      </c>
      <c r="F6" s="6" t="s">
        <v>34</v>
      </c>
      <c r="G6" s="7" t="s">
        <v>16</v>
      </c>
      <c r="H6" s="8" t="s">
        <v>17</v>
      </c>
      <c r="I6" s="6" t="s">
        <v>35</v>
      </c>
      <c r="J6" s="9"/>
      <c r="K6" s="9"/>
    </row>
    <row r="7" spans="1:11" ht="48.75" customHeight="1" x14ac:dyDescent="0.3">
      <c r="A7" s="2">
        <v>5</v>
      </c>
      <c r="B7" s="3" t="s">
        <v>36</v>
      </c>
      <c r="C7" s="4" t="s">
        <v>37</v>
      </c>
      <c r="D7" s="4" t="s">
        <v>38</v>
      </c>
      <c r="E7" s="12" t="s">
        <v>33</v>
      </c>
      <c r="F7" s="6" t="s">
        <v>39</v>
      </c>
      <c r="G7" s="7" t="s">
        <v>16</v>
      </c>
      <c r="H7" s="11" t="s">
        <v>28</v>
      </c>
      <c r="I7" s="6" t="s">
        <v>40</v>
      </c>
      <c r="J7" s="9"/>
      <c r="K7" s="9"/>
    </row>
    <row r="8" spans="1:11" ht="63.75" customHeight="1" x14ac:dyDescent="0.3">
      <c r="A8" s="2">
        <v>6</v>
      </c>
      <c r="B8" s="3" t="s">
        <v>41</v>
      </c>
      <c r="C8" s="4" t="s">
        <v>31</v>
      </c>
      <c r="D8" s="4" t="s">
        <v>42</v>
      </c>
      <c r="E8" s="12" t="s">
        <v>33</v>
      </c>
      <c r="F8" s="6" t="s">
        <v>43</v>
      </c>
      <c r="G8" s="7" t="s">
        <v>16</v>
      </c>
      <c r="H8" s="11" t="s">
        <v>28</v>
      </c>
      <c r="I8" s="6" t="s">
        <v>44</v>
      </c>
      <c r="J8" s="9"/>
      <c r="K8" s="9"/>
    </row>
    <row r="9" spans="1:11" ht="48.75" customHeight="1" x14ac:dyDescent="0.3">
      <c r="A9" s="2">
        <v>7</v>
      </c>
      <c r="B9" s="3" t="s">
        <v>45</v>
      </c>
      <c r="C9" s="4" t="s">
        <v>46</v>
      </c>
      <c r="D9" s="4" t="s">
        <v>47</v>
      </c>
      <c r="E9" s="12" t="s">
        <v>33</v>
      </c>
      <c r="F9" s="6" t="s">
        <v>48</v>
      </c>
      <c r="G9" s="7" t="s">
        <v>16</v>
      </c>
      <c r="H9" s="11" t="s">
        <v>28</v>
      </c>
      <c r="I9" s="6" t="s">
        <v>49</v>
      </c>
      <c r="J9" s="9"/>
      <c r="K9" s="9"/>
    </row>
    <row r="10" spans="1:11" ht="48.75" customHeight="1" x14ac:dyDescent="0.3">
      <c r="A10" s="2">
        <v>8</v>
      </c>
      <c r="B10" s="3" t="s">
        <v>50</v>
      </c>
      <c r="C10" s="4" t="s">
        <v>46</v>
      </c>
      <c r="D10" s="4" t="s">
        <v>47</v>
      </c>
      <c r="E10" s="12" t="s">
        <v>33</v>
      </c>
      <c r="F10" s="6" t="s">
        <v>51</v>
      </c>
      <c r="G10" s="7" t="s">
        <v>16</v>
      </c>
      <c r="H10" s="11" t="s">
        <v>28</v>
      </c>
      <c r="I10" s="6" t="s">
        <v>52</v>
      </c>
      <c r="J10" s="9"/>
      <c r="K10" s="9"/>
    </row>
    <row r="11" spans="1:11" ht="48.75" customHeight="1" x14ac:dyDescent="0.3">
      <c r="A11" s="2">
        <v>9</v>
      </c>
      <c r="B11" s="3" t="s">
        <v>53</v>
      </c>
      <c r="C11" s="4" t="s">
        <v>31</v>
      </c>
      <c r="D11" s="4" t="s">
        <v>42</v>
      </c>
      <c r="E11" s="13" t="s">
        <v>54</v>
      </c>
      <c r="F11" s="6" t="s">
        <v>55</v>
      </c>
      <c r="G11" s="14" t="s">
        <v>56</v>
      </c>
      <c r="H11" s="8" t="s">
        <v>17</v>
      </c>
      <c r="I11" s="6" t="s">
        <v>57</v>
      </c>
      <c r="J11" s="9"/>
      <c r="K11" s="9"/>
    </row>
    <row r="12" spans="1:11" ht="48.75" customHeight="1" x14ac:dyDescent="0.3">
      <c r="A12" s="2">
        <v>10</v>
      </c>
      <c r="B12" s="3" t="s">
        <v>58</v>
      </c>
      <c r="C12" s="4" t="s">
        <v>31</v>
      </c>
      <c r="D12" s="4" t="s">
        <v>42</v>
      </c>
      <c r="E12" s="13" t="s">
        <v>54</v>
      </c>
      <c r="F12" s="6" t="s">
        <v>59</v>
      </c>
      <c r="G12" s="14" t="s">
        <v>56</v>
      </c>
      <c r="H12" s="8" t="s">
        <v>17</v>
      </c>
      <c r="I12" s="6" t="s">
        <v>60</v>
      </c>
      <c r="J12" s="9"/>
      <c r="K12" s="9"/>
    </row>
    <row r="13" spans="1:11" ht="63.75" customHeight="1" x14ac:dyDescent="0.3">
      <c r="A13" s="2">
        <v>11</v>
      </c>
      <c r="B13" s="3" t="s">
        <v>61</v>
      </c>
      <c r="C13" s="4" t="s">
        <v>62</v>
      </c>
      <c r="D13" s="4" t="s">
        <v>42</v>
      </c>
      <c r="E13" s="5" t="s">
        <v>42</v>
      </c>
      <c r="F13" s="6" t="s">
        <v>63</v>
      </c>
      <c r="G13" s="15" t="s">
        <v>64</v>
      </c>
      <c r="H13" s="8" t="s">
        <v>17</v>
      </c>
      <c r="I13" s="6" t="s">
        <v>65</v>
      </c>
      <c r="J13" s="9"/>
      <c r="K13" s="9"/>
    </row>
    <row r="14" spans="1:11" ht="63.75" customHeight="1" x14ac:dyDescent="0.3">
      <c r="A14" s="2">
        <v>12</v>
      </c>
      <c r="B14" s="3" t="s">
        <v>66</v>
      </c>
      <c r="C14" s="4" t="s">
        <v>67</v>
      </c>
      <c r="D14" s="4" t="s">
        <v>42</v>
      </c>
      <c r="E14" s="5" t="s">
        <v>42</v>
      </c>
      <c r="F14" s="6" t="s">
        <v>68</v>
      </c>
      <c r="G14" s="15" t="s">
        <v>64</v>
      </c>
      <c r="H14" s="8" t="s">
        <v>17</v>
      </c>
      <c r="I14" s="6" t="s">
        <v>69</v>
      </c>
      <c r="J14" s="9"/>
      <c r="K14" s="9"/>
    </row>
    <row r="15" spans="1:11" ht="63.75" customHeight="1" x14ac:dyDescent="0.3">
      <c r="A15" s="2">
        <v>13</v>
      </c>
      <c r="B15" s="3" t="s">
        <v>70</v>
      </c>
      <c r="C15" s="4" t="s">
        <v>71</v>
      </c>
      <c r="D15" s="4" t="s">
        <v>42</v>
      </c>
      <c r="E15" s="10" t="s">
        <v>72</v>
      </c>
      <c r="F15" s="6" t="s">
        <v>73</v>
      </c>
      <c r="G15" s="15" t="s">
        <v>64</v>
      </c>
      <c r="H15" s="8" t="s">
        <v>17</v>
      </c>
      <c r="I15" s="6" t="s">
        <v>74</v>
      </c>
      <c r="J15" s="9"/>
      <c r="K15" s="9"/>
    </row>
    <row r="16" spans="1:11" ht="48.75" customHeight="1" x14ac:dyDescent="0.3">
      <c r="A16" s="2">
        <v>14</v>
      </c>
      <c r="B16" s="3" t="s">
        <v>75</v>
      </c>
      <c r="C16" s="4" t="s">
        <v>71</v>
      </c>
      <c r="D16" s="4" t="s">
        <v>42</v>
      </c>
      <c r="E16" s="10" t="s">
        <v>72</v>
      </c>
      <c r="F16" s="6" t="s">
        <v>76</v>
      </c>
      <c r="G16" s="15" t="s">
        <v>64</v>
      </c>
      <c r="H16" s="8" t="s">
        <v>17</v>
      </c>
      <c r="I16" s="6" t="s">
        <v>77</v>
      </c>
      <c r="J16" s="9"/>
      <c r="K16" s="9"/>
    </row>
    <row r="17" spans="1:11" ht="63.75" customHeight="1" x14ac:dyDescent="0.3">
      <c r="A17" s="2">
        <v>15</v>
      </c>
      <c r="B17" s="3" t="s">
        <v>78</v>
      </c>
      <c r="C17" s="4" t="s">
        <v>79</v>
      </c>
      <c r="D17" s="4" t="s">
        <v>80</v>
      </c>
      <c r="E17" s="10" t="s">
        <v>81</v>
      </c>
      <c r="F17" s="6" t="s">
        <v>82</v>
      </c>
      <c r="G17" s="15" t="s">
        <v>64</v>
      </c>
      <c r="H17" s="11" t="s">
        <v>28</v>
      </c>
      <c r="I17" s="6" t="s">
        <v>83</v>
      </c>
      <c r="J17" s="9"/>
      <c r="K17" s="9"/>
    </row>
    <row r="18" spans="1:11" ht="48.75" customHeight="1" x14ac:dyDescent="0.3">
      <c r="A18" s="2">
        <v>16</v>
      </c>
      <c r="B18" s="3" t="s">
        <v>84</v>
      </c>
      <c r="C18" s="4" t="s">
        <v>85</v>
      </c>
      <c r="D18" s="4" t="s">
        <v>86</v>
      </c>
      <c r="E18" s="5" t="s">
        <v>87</v>
      </c>
      <c r="F18" s="6" t="s">
        <v>88</v>
      </c>
      <c r="G18" s="15" t="s">
        <v>64</v>
      </c>
      <c r="H18" s="11" t="s">
        <v>28</v>
      </c>
      <c r="I18" s="6" t="s">
        <v>89</v>
      </c>
      <c r="J18" s="9"/>
      <c r="K18" s="9"/>
    </row>
    <row r="19" spans="1:11" ht="63.75" customHeight="1" x14ac:dyDescent="0.3">
      <c r="A19" s="2">
        <v>17</v>
      </c>
      <c r="B19" s="3" t="s">
        <v>90</v>
      </c>
      <c r="C19" s="4" t="s">
        <v>91</v>
      </c>
      <c r="D19" s="4" t="s">
        <v>92</v>
      </c>
      <c r="E19" s="10" t="s">
        <v>21</v>
      </c>
      <c r="F19" s="6" t="s">
        <v>93</v>
      </c>
      <c r="G19" s="15" t="s">
        <v>64</v>
      </c>
      <c r="H19" s="11" t="s">
        <v>28</v>
      </c>
      <c r="I19" s="6" t="s">
        <v>94</v>
      </c>
      <c r="J19" s="9"/>
      <c r="K19" s="9"/>
    </row>
    <row r="20" spans="1:11" ht="48.75" customHeight="1" x14ac:dyDescent="0.3">
      <c r="A20" s="2">
        <v>18</v>
      </c>
      <c r="B20" s="3" t="s">
        <v>95</v>
      </c>
      <c r="C20" s="4" t="s">
        <v>96</v>
      </c>
      <c r="D20" s="4" t="s">
        <v>92</v>
      </c>
      <c r="E20" s="10" t="s">
        <v>21</v>
      </c>
      <c r="F20" s="6" t="s">
        <v>97</v>
      </c>
      <c r="G20" s="15" t="s">
        <v>64</v>
      </c>
      <c r="H20" s="16" t="s">
        <v>98</v>
      </c>
      <c r="I20" s="6" t="s">
        <v>99</v>
      </c>
      <c r="J20" s="9"/>
      <c r="K20" s="9"/>
    </row>
    <row r="21" spans="1:11" ht="63.75" customHeight="1" x14ac:dyDescent="0.3">
      <c r="A21" s="2">
        <v>19</v>
      </c>
      <c r="B21" s="3" t="s">
        <v>100</v>
      </c>
      <c r="C21" s="4" t="s">
        <v>101</v>
      </c>
      <c r="D21" s="4" t="s">
        <v>92</v>
      </c>
      <c r="E21" s="10" t="s">
        <v>21</v>
      </c>
      <c r="F21" s="6" t="s">
        <v>102</v>
      </c>
      <c r="G21" s="15" t="s">
        <v>64</v>
      </c>
      <c r="H21" s="16" t="s">
        <v>98</v>
      </c>
      <c r="I21" s="6" t="s">
        <v>103</v>
      </c>
      <c r="J21" s="9"/>
      <c r="K21" s="9"/>
    </row>
    <row r="22" spans="1:11" ht="48.75" customHeight="1" x14ac:dyDescent="0.3">
      <c r="A22" s="2">
        <v>20</v>
      </c>
      <c r="B22" s="3" t="s">
        <v>104</v>
      </c>
      <c r="C22" s="4" t="s">
        <v>105</v>
      </c>
      <c r="D22" s="4" t="s">
        <v>106</v>
      </c>
      <c r="E22" s="10" t="s">
        <v>21</v>
      </c>
      <c r="F22" s="6" t="s">
        <v>107</v>
      </c>
      <c r="G22" s="15" t="s">
        <v>64</v>
      </c>
      <c r="H22" s="16" t="s">
        <v>98</v>
      </c>
      <c r="I22" s="6" t="s">
        <v>108</v>
      </c>
      <c r="J22" s="9"/>
      <c r="K22" s="9"/>
    </row>
    <row r="23" spans="1:11" ht="48.75" customHeight="1" x14ac:dyDescent="0.3">
      <c r="A23" s="2">
        <v>21</v>
      </c>
      <c r="B23" s="3" t="s">
        <v>109</v>
      </c>
      <c r="C23" s="4" t="s">
        <v>110</v>
      </c>
      <c r="D23" s="4" t="s">
        <v>111</v>
      </c>
      <c r="E23" s="5" t="s">
        <v>87</v>
      </c>
      <c r="F23" s="6" t="s">
        <v>112</v>
      </c>
      <c r="G23" s="15" t="s">
        <v>64</v>
      </c>
      <c r="H23" s="11" t="s">
        <v>28</v>
      </c>
      <c r="I23" s="6" t="s">
        <v>113</v>
      </c>
      <c r="J23" s="9"/>
      <c r="K23" s="9"/>
    </row>
    <row r="24" spans="1:11" ht="48.75" customHeight="1" x14ac:dyDescent="0.3">
      <c r="A24" s="2">
        <v>22</v>
      </c>
      <c r="B24" s="3" t="s">
        <v>114</v>
      </c>
      <c r="C24" s="4" t="s">
        <v>67</v>
      </c>
      <c r="D24" s="4" t="s">
        <v>115</v>
      </c>
      <c r="E24" s="12" t="s">
        <v>116</v>
      </c>
      <c r="F24" s="6" t="s">
        <v>117</v>
      </c>
      <c r="G24" s="17" t="s">
        <v>118</v>
      </c>
      <c r="H24" s="18" t="s">
        <v>119</v>
      </c>
      <c r="I24" s="6" t="s">
        <v>120</v>
      </c>
      <c r="J24" s="9"/>
      <c r="K24" s="9"/>
    </row>
    <row r="25" spans="1:11" ht="33.75" customHeight="1" x14ac:dyDescent="0.3">
      <c r="A25" s="2">
        <v>23</v>
      </c>
      <c r="B25" s="3" t="s">
        <v>121</v>
      </c>
      <c r="C25" s="4" t="s">
        <v>67</v>
      </c>
      <c r="D25" s="4" t="s">
        <v>122</v>
      </c>
      <c r="E25" s="12" t="s">
        <v>116</v>
      </c>
      <c r="F25" s="6" t="s">
        <v>123</v>
      </c>
      <c r="G25" s="17" t="s">
        <v>118</v>
      </c>
      <c r="H25" s="18" t="s">
        <v>119</v>
      </c>
      <c r="I25" s="6" t="s">
        <v>124</v>
      </c>
      <c r="J25" s="9"/>
      <c r="K25" s="9"/>
    </row>
    <row r="26" spans="1:11" ht="48.75" customHeight="1" x14ac:dyDescent="0.3">
      <c r="A26" s="2">
        <v>24</v>
      </c>
      <c r="B26" s="3" t="s">
        <v>125</v>
      </c>
      <c r="C26" s="4" t="s">
        <v>126</v>
      </c>
      <c r="D26" s="4" t="s">
        <v>127</v>
      </c>
      <c r="E26" s="10" t="s">
        <v>72</v>
      </c>
      <c r="F26" s="6" t="s">
        <v>128</v>
      </c>
      <c r="G26" s="17" t="s">
        <v>118</v>
      </c>
      <c r="H26" s="11" t="s">
        <v>28</v>
      </c>
      <c r="I26" s="6" t="s">
        <v>129</v>
      </c>
      <c r="J26" s="9"/>
      <c r="K26" s="9"/>
    </row>
    <row r="27" spans="1:11" ht="33.75" customHeight="1" x14ac:dyDescent="0.3">
      <c r="A27" s="2">
        <v>25</v>
      </c>
      <c r="B27" s="3" t="s">
        <v>130</v>
      </c>
      <c r="C27" s="4" t="s">
        <v>131</v>
      </c>
      <c r="D27" s="4" t="s">
        <v>132</v>
      </c>
      <c r="E27" s="10" t="s">
        <v>72</v>
      </c>
      <c r="F27" s="6" t="s">
        <v>133</v>
      </c>
      <c r="G27" s="17" t="s">
        <v>118</v>
      </c>
      <c r="H27" s="11" t="s">
        <v>28</v>
      </c>
      <c r="I27" s="6" t="s">
        <v>134</v>
      </c>
      <c r="J27" s="9"/>
      <c r="K27" s="9"/>
    </row>
    <row r="28" spans="1:11" ht="33.75" customHeight="1" x14ac:dyDescent="0.3">
      <c r="A28" s="2">
        <v>26</v>
      </c>
      <c r="B28" s="3" t="s">
        <v>135</v>
      </c>
      <c r="C28" s="4" t="s">
        <v>131</v>
      </c>
      <c r="D28" s="4" t="s">
        <v>136</v>
      </c>
      <c r="E28" s="10" t="s">
        <v>81</v>
      </c>
      <c r="F28" s="6" t="s">
        <v>137</v>
      </c>
      <c r="G28" s="17" t="s">
        <v>118</v>
      </c>
      <c r="H28" s="16" t="s">
        <v>98</v>
      </c>
      <c r="I28" s="6" t="s">
        <v>138</v>
      </c>
      <c r="J28" s="9"/>
      <c r="K28" s="9"/>
    </row>
    <row r="29" spans="1:11" ht="33.75" customHeight="1" x14ac:dyDescent="0.3">
      <c r="A29" s="2">
        <v>27</v>
      </c>
      <c r="B29" s="3" t="s">
        <v>139</v>
      </c>
      <c r="C29" s="4" t="s">
        <v>131</v>
      </c>
      <c r="D29" s="4" t="s">
        <v>140</v>
      </c>
      <c r="E29" s="12" t="s">
        <v>33</v>
      </c>
      <c r="F29" s="6" t="s">
        <v>141</v>
      </c>
      <c r="G29" s="17" t="s">
        <v>118</v>
      </c>
      <c r="H29" s="18" t="s">
        <v>119</v>
      </c>
      <c r="I29" s="6" t="s">
        <v>142</v>
      </c>
      <c r="J29" s="9"/>
      <c r="K29" s="9"/>
    </row>
    <row r="30" spans="1:11" ht="48.75" customHeight="1" x14ac:dyDescent="0.3">
      <c r="A30" s="2">
        <v>28</v>
      </c>
      <c r="B30" s="3" t="s">
        <v>143</v>
      </c>
      <c r="C30" s="4" t="s">
        <v>131</v>
      </c>
      <c r="D30" s="4" t="s">
        <v>144</v>
      </c>
      <c r="E30" s="12" t="s">
        <v>145</v>
      </c>
      <c r="F30" s="6" t="s">
        <v>146</v>
      </c>
      <c r="G30" s="19" t="s">
        <v>147</v>
      </c>
      <c r="H30" s="20" t="s">
        <v>148</v>
      </c>
      <c r="I30" s="6" t="s">
        <v>149</v>
      </c>
      <c r="J30" s="9"/>
      <c r="K30" s="9"/>
    </row>
    <row r="31" spans="1:11" ht="33.75" customHeight="1" x14ac:dyDescent="0.3">
      <c r="A31" s="2">
        <v>29</v>
      </c>
      <c r="B31" s="3" t="s">
        <v>150</v>
      </c>
      <c r="C31" s="4" t="s">
        <v>151</v>
      </c>
      <c r="D31" s="4" t="s">
        <v>144</v>
      </c>
      <c r="E31" s="12" t="s">
        <v>145</v>
      </c>
      <c r="F31" s="6" t="s">
        <v>152</v>
      </c>
      <c r="G31" s="19" t="s">
        <v>147</v>
      </c>
      <c r="H31" s="20" t="s">
        <v>148</v>
      </c>
      <c r="I31" s="6" t="s">
        <v>153</v>
      </c>
      <c r="J31" s="9"/>
      <c r="K31" s="9"/>
    </row>
    <row r="32" spans="1:11" ht="33.75" customHeight="1" x14ac:dyDescent="0.3">
      <c r="A32" s="2">
        <v>30</v>
      </c>
      <c r="B32" s="3" t="s">
        <v>154</v>
      </c>
      <c r="C32" s="4" t="s">
        <v>155</v>
      </c>
      <c r="D32" s="4" t="s">
        <v>156</v>
      </c>
      <c r="E32" s="12" t="s">
        <v>145</v>
      </c>
      <c r="F32" s="6" t="s">
        <v>157</v>
      </c>
      <c r="G32" s="19" t="s">
        <v>147</v>
      </c>
      <c r="H32" s="18" t="s">
        <v>119</v>
      </c>
      <c r="I32" s="6" t="s">
        <v>158</v>
      </c>
      <c r="J32" s="9"/>
      <c r="K32" s="9"/>
    </row>
    <row r="33" spans="1:11" ht="33.75" customHeight="1" x14ac:dyDescent="0.3">
      <c r="A33" s="2">
        <v>31</v>
      </c>
      <c r="B33" s="3" t="s">
        <v>159</v>
      </c>
      <c r="C33" s="4" t="s">
        <v>155</v>
      </c>
      <c r="D33" s="4" t="s">
        <v>160</v>
      </c>
      <c r="E33" s="12" t="s">
        <v>145</v>
      </c>
      <c r="F33" s="6" t="s">
        <v>161</v>
      </c>
      <c r="G33" s="19" t="s">
        <v>147</v>
      </c>
      <c r="H33" s="21" t="s">
        <v>162</v>
      </c>
      <c r="I33" s="6" t="s">
        <v>163</v>
      </c>
      <c r="J33" s="9"/>
      <c r="K33" s="9"/>
    </row>
    <row r="34" spans="1:11" ht="63.75" customHeight="1" x14ac:dyDescent="0.3">
      <c r="A34" s="2">
        <v>32</v>
      </c>
      <c r="B34" s="3" t="s">
        <v>164</v>
      </c>
      <c r="C34" s="4" t="s">
        <v>165</v>
      </c>
      <c r="D34" s="4" t="s">
        <v>166</v>
      </c>
      <c r="E34" s="5" t="s">
        <v>167</v>
      </c>
      <c r="F34" s="6" t="s">
        <v>168</v>
      </c>
      <c r="G34" s="7" t="s">
        <v>16</v>
      </c>
      <c r="H34" s="16" t="s">
        <v>98</v>
      </c>
      <c r="I34" s="6" t="s">
        <v>169</v>
      </c>
      <c r="J34" s="9"/>
      <c r="K34" s="9"/>
    </row>
    <row r="35" spans="1:11" ht="30" customHeight="1" x14ac:dyDescent="0.3">
      <c r="A35" s="2">
        <v>33</v>
      </c>
      <c r="B35" s="3" t="s">
        <v>170</v>
      </c>
      <c r="C35" s="4" t="s">
        <v>171</v>
      </c>
      <c r="D35" s="4" t="s">
        <v>106</v>
      </c>
      <c r="E35" s="12" t="s">
        <v>145</v>
      </c>
      <c r="F35" s="6" t="s">
        <v>172</v>
      </c>
      <c r="G35" s="19" t="s">
        <v>147</v>
      </c>
      <c r="H35" s="16" t="s">
        <v>98</v>
      </c>
      <c r="I35" s="6" t="s">
        <v>173</v>
      </c>
      <c r="J35" s="9"/>
      <c r="K35" s="9"/>
    </row>
    <row r="36" spans="1:11" ht="33.75" customHeight="1" x14ac:dyDescent="0.3">
      <c r="A36" s="2">
        <v>34</v>
      </c>
      <c r="B36" s="3" t="s">
        <v>174</v>
      </c>
      <c r="C36" s="4" t="s">
        <v>131</v>
      </c>
      <c r="D36" s="4" t="s">
        <v>175</v>
      </c>
      <c r="E36" s="12" t="s">
        <v>176</v>
      </c>
      <c r="F36" s="6" t="s">
        <v>177</v>
      </c>
      <c r="G36" s="19" t="s">
        <v>147</v>
      </c>
      <c r="H36" s="21" t="s">
        <v>162</v>
      </c>
      <c r="I36" s="6" t="s">
        <v>178</v>
      </c>
      <c r="J36" s="9"/>
      <c r="K36" s="9"/>
    </row>
    <row r="37" spans="1:11" ht="48.75" customHeight="1" x14ac:dyDescent="0.3">
      <c r="A37" s="2">
        <v>35</v>
      </c>
      <c r="B37" s="3" t="s">
        <v>179</v>
      </c>
      <c r="C37" s="4" t="s">
        <v>180</v>
      </c>
      <c r="D37" s="4" t="s">
        <v>181</v>
      </c>
      <c r="E37" s="12" t="s">
        <v>33</v>
      </c>
      <c r="F37" s="6" t="s">
        <v>182</v>
      </c>
      <c r="G37" s="19" t="s">
        <v>147</v>
      </c>
      <c r="H37" s="18" t="s">
        <v>119</v>
      </c>
      <c r="I37" s="6" t="s">
        <v>183</v>
      </c>
      <c r="J37" s="9"/>
      <c r="K37" s="9"/>
    </row>
    <row r="38" spans="1:11" ht="33.75" customHeight="1" x14ac:dyDescent="0.3">
      <c r="A38" s="2">
        <v>36</v>
      </c>
      <c r="B38" s="3" t="s">
        <v>184</v>
      </c>
      <c r="C38" s="4" t="s">
        <v>131</v>
      </c>
      <c r="D38" s="4" t="s">
        <v>185</v>
      </c>
      <c r="E38" s="12" t="s">
        <v>145</v>
      </c>
      <c r="F38" s="6" t="s">
        <v>186</v>
      </c>
      <c r="G38" s="19" t="s">
        <v>147</v>
      </c>
      <c r="H38" s="18" t="s">
        <v>119</v>
      </c>
      <c r="I38" s="6" t="s">
        <v>187</v>
      </c>
      <c r="J38" s="9"/>
      <c r="K38" s="9"/>
    </row>
    <row r="39" spans="1:11" ht="63.75" customHeight="1" x14ac:dyDescent="0.3">
      <c r="A39" s="2">
        <v>37</v>
      </c>
      <c r="B39" s="3" t="s">
        <v>188</v>
      </c>
      <c r="C39" s="4" t="s">
        <v>189</v>
      </c>
      <c r="D39" s="4" t="s">
        <v>190</v>
      </c>
      <c r="E39" s="5" t="s">
        <v>87</v>
      </c>
      <c r="F39" s="6" t="s">
        <v>191</v>
      </c>
      <c r="G39" s="15" t="s">
        <v>64</v>
      </c>
      <c r="H39" s="16" t="s">
        <v>98</v>
      </c>
      <c r="I39" s="6" t="s">
        <v>192</v>
      </c>
      <c r="J39" s="9"/>
      <c r="K39" s="9"/>
    </row>
    <row r="40" spans="1:11" ht="48.75" customHeight="1" x14ac:dyDescent="0.3">
      <c r="A40" s="2">
        <v>38</v>
      </c>
      <c r="B40" s="3" t="s">
        <v>193</v>
      </c>
      <c r="C40" s="4" t="s">
        <v>131</v>
      </c>
      <c r="D40" s="4" t="s">
        <v>190</v>
      </c>
      <c r="E40" s="5" t="s">
        <v>87</v>
      </c>
      <c r="F40" s="6" t="s">
        <v>194</v>
      </c>
      <c r="G40" s="15" t="s">
        <v>64</v>
      </c>
      <c r="H40" s="16" t="s">
        <v>98</v>
      </c>
      <c r="I40" s="6" t="s">
        <v>195</v>
      </c>
      <c r="J40" s="9"/>
      <c r="K40" s="9"/>
    </row>
    <row r="41" spans="1:11" ht="30" customHeight="1" x14ac:dyDescent="0.3">
      <c r="A41" s="2">
        <v>39</v>
      </c>
      <c r="B41" s="3" t="s">
        <v>196</v>
      </c>
      <c r="C41" s="4" t="s">
        <v>131</v>
      </c>
      <c r="D41" s="4" t="s">
        <v>197</v>
      </c>
      <c r="E41" s="12" t="s">
        <v>116</v>
      </c>
      <c r="F41" s="6" t="s">
        <v>198</v>
      </c>
      <c r="G41" s="22" t="s">
        <v>199</v>
      </c>
      <c r="H41" s="18" t="s">
        <v>119</v>
      </c>
      <c r="I41" s="6" t="s">
        <v>200</v>
      </c>
      <c r="J41" s="9"/>
      <c r="K41" s="9"/>
    </row>
    <row r="42" spans="1:11" ht="33.75" customHeight="1" x14ac:dyDescent="0.3">
      <c r="A42" s="2">
        <v>40</v>
      </c>
      <c r="B42" s="3" t="s">
        <v>201</v>
      </c>
      <c r="C42" s="4" t="s">
        <v>131</v>
      </c>
      <c r="D42" s="4" t="s">
        <v>202</v>
      </c>
      <c r="E42" s="12" t="s">
        <v>176</v>
      </c>
      <c r="F42" s="6" t="s">
        <v>203</v>
      </c>
      <c r="G42" s="22" t="s">
        <v>199</v>
      </c>
      <c r="H42" s="21" t="s">
        <v>162</v>
      </c>
      <c r="I42" s="6" t="s">
        <v>204</v>
      </c>
      <c r="J42" s="9"/>
      <c r="K42" s="9"/>
    </row>
    <row r="43" spans="1:11" ht="33.75" customHeight="1" x14ac:dyDescent="0.3">
      <c r="A43" s="2">
        <v>41</v>
      </c>
      <c r="B43" s="3" t="s">
        <v>205</v>
      </c>
      <c r="C43" s="4" t="s">
        <v>131</v>
      </c>
      <c r="D43" s="4" t="s">
        <v>206</v>
      </c>
      <c r="E43" s="13" t="s">
        <v>54</v>
      </c>
      <c r="F43" s="6" t="s">
        <v>207</v>
      </c>
      <c r="G43" s="14" t="s">
        <v>56</v>
      </c>
      <c r="H43" s="21" t="s">
        <v>162</v>
      </c>
      <c r="I43" s="6" t="s">
        <v>208</v>
      </c>
      <c r="J43" s="9"/>
      <c r="K43" s="9"/>
    </row>
    <row r="44" spans="1:11" ht="33.75" customHeight="1" x14ac:dyDescent="0.3">
      <c r="A44" s="2">
        <v>42</v>
      </c>
      <c r="B44" s="3" t="s">
        <v>209</v>
      </c>
      <c r="C44" s="4" t="s">
        <v>131</v>
      </c>
      <c r="D44" s="4" t="s">
        <v>206</v>
      </c>
      <c r="E44" s="12" t="s">
        <v>176</v>
      </c>
      <c r="F44" s="6" t="s">
        <v>210</v>
      </c>
      <c r="G44" s="22" t="s">
        <v>199</v>
      </c>
      <c r="H44" s="21" t="s">
        <v>162</v>
      </c>
      <c r="I44" s="6" t="s">
        <v>211</v>
      </c>
      <c r="J44" s="9"/>
      <c r="K44" s="9"/>
    </row>
    <row r="45" spans="1:11" ht="33.75" customHeight="1" x14ac:dyDescent="0.3">
      <c r="A45" s="2">
        <v>43</v>
      </c>
      <c r="B45" s="3" t="s">
        <v>212</v>
      </c>
      <c r="C45" s="4" t="s">
        <v>131</v>
      </c>
      <c r="D45" s="4" t="s">
        <v>202</v>
      </c>
      <c r="E45" s="12" t="s">
        <v>176</v>
      </c>
      <c r="F45" s="6" t="s">
        <v>213</v>
      </c>
      <c r="G45" s="22" t="s">
        <v>199</v>
      </c>
      <c r="H45" s="21" t="s">
        <v>162</v>
      </c>
      <c r="I45" s="6" t="s">
        <v>214</v>
      </c>
      <c r="J45" s="9"/>
      <c r="K45" s="9"/>
    </row>
    <row r="46" spans="1:11" ht="48.75" customHeight="1" x14ac:dyDescent="0.3">
      <c r="A46" s="2">
        <v>44</v>
      </c>
      <c r="B46" s="3" t="s">
        <v>215</v>
      </c>
      <c r="C46" s="4" t="s">
        <v>216</v>
      </c>
      <c r="D46" s="4" t="s">
        <v>217</v>
      </c>
      <c r="E46" s="12" t="s">
        <v>33</v>
      </c>
      <c r="F46" s="6" t="s">
        <v>218</v>
      </c>
      <c r="G46" s="23" t="s">
        <v>219</v>
      </c>
      <c r="H46" s="16" t="s">
        <v>98</v>
      </c>
      <c r="I46" s="6" t="s">
        <v>220</v>
      </c>
      <c r="J46" s="9"/>
      <c r="K46" s="9"/>
    </row>
    <row r="47" spans="1:11" ht="63.75" customHeight="1" x14ac:dyDescent="0.3">
      <c r="A47" s="2">
        <v>45</v>
      </c>
      <c r="B47" s="3" t="s">
        <v>221</v>
      </c>
      <c r="C47" s="4" t="s">
        <v>222</v>
      </c>
      <c r="D47" s="4" t="s">
        <v>223</v>
      </c>
      <c r="E47" s="12" t="s">
        <v>33</v>
      </c>
      <c r="F47" s="6" t="s">
        <v>224</v>
      </c>
      <c r="G47" s="23" t="s">
        <v>219</v>
      </c>
      <c r="H47" s="16" t="s">
        <v>98</v>
      </c>
      <c r="I47" s="6" t="s">
        <v>225</v>
      </c>
      <c r="J47" s="9"/>
      <c r="K47" s="9"/>
    </row>
  </sheetData>
  <autoFilter ref="A2:K47" xr:uid="{00000000-0009-0000-0000-000000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zoomScaleNormal="100" workbookViewId="0">
      <selection sqref="A1:D1"/>
    </sheetView>
  </sheetViews>
  <sheetFormatPr defaultColWidth="8.6640625" defaultRowHeight="14.4" x14ac:dyDescent="0.3"/>
  <cols>
    <col min="1" max="1" width="4" customWidth="1"/>
    <col min="2" max="2" width="40" customWidth="1"/>
    <col min="3" max="3" width="12" customWidth="1"/>
    <col min="4" max="4" width="58" customWidth="1"/>
  </cols>
  <sheetData>
    <row r="1" spans="1:4" ht="25.5" customHeight="1" x14ac:dyDescent="0.3">
      <c r="A1" s="53" t="s">
        <v>226</v>
      </c>
      <c r="B1" s="53"/>
      <c r="C1" s="53"/>
      <c r="D1" s="53"/>
    </row>
    <row r="2" spans="1:4" ht="30" customHeight="1" x14ac:dyDescent="0.3">
      <c r="A2" s="54" t="s">
        <v>227</v>
      </c>
      <c r="B2" s="54"/>
      <c r="C2" s="54"/>
      <c r="D2" s="54"/>
    </row>
    <row r="3" spans="1:4" ht="21.75" customHeight="1" x14ac:dyDescent="0.3">
      <c r="A3" s="55" t="s">
        <v>228</v>
      </c>
      <c r="B3" s="55"/>
      <c r="C3" s="55"/>
      <c r="D3" s="55"/>
    </row>
    <row r="4" spans="1:4" x14ac:dyDescent="0.3">
      <c r="B4" s="24" t="s">
        <v>229</v>
      </c>
      <c r="C4" s="24" t="s">
        <v>230</v>
      </c>
    </row>
    <row r="5" spans="1:4" x14ac:dyDescent="0.3">
      <c r="B5" s="25" t="s">
        <v>16</v>
      </c>
      <c r="C5" s="26">
        <f>COUNTIF('Матрица атрибутов'!$G$3:$G$47,"Начало диалога")</f>
        <v>9</v>
      </c>
    </row>
    <row r="6" spans="1:4" x14ac:dyDescent="0.3">
      <c r="B6" s="27" t="s">
        <v>64</v>
      </c>
      <c r="C6" s="26">
        <f>COUNTIF('Матрица атрибутов'!$G$3:$G$47,"Аргументация")</f>
        <v>13</v>
      </c>
    </row>
    <row r="7" spans="1:4" x14ac:dyDescent="0.3">
      <c r="B7" s="28" t="s">
        <v>118</v>
      </c>
      <c r="C7" s="26">
        <f>COUNTIF('Матрица атрибутов'!$G$3:$G$47,"Ограничение/расчёт продукта")</f>
        <v>6</v>
      </c>
    </row>
    <row r="8" spans="1:4" x14ac:dyDescent="0.3">
      <c r="B8" s="29" t="s">
        <v>56</v>
      </c>
      <c r="C8" s="26">
        <f>COUNTIF('Матрица атрибутов'!$G$3:$G$47,"Стоп-фактор / маршрутизация")</f>
        <v>3</v>
      </c>
    </row>
    <row r="9" spans="1:4" x14ac:dyDescent="0.3">
      <c r="B9" s="30" t="s">
        <v>147</v>
      </c>
      <c r="C9" s="26">
        <f>COUNTIF('Матрица атрибутов'!$G$3:$G$47,"Технический / идентификатор")</f>
        <v>8</v>
      </c>
    </row>
    <row r="10" spans="1:4" x14ac:dyDescent="0.3">
      <c r="B10" s="31" t="s">
        <v>199</v>
      </c>
      <c r="C10" s="26">
        <f>COUNTIF('Матрица атрибутов'!$G$3:$G$47,"Не в речи / не нужно")</f>
        <v>4</v>
      </c>
    </row>
    <row r="11" spans="1:4" x14ac:dyDescent="0.3">
      <c r="B11" s="32" t="s">
        <v>219</v>
      </c>
      <c r="C11" s="26">
        <f>COUNTIF('Матрица атрибутов'!$G$3:$G$47,"Таргетинг пилота")</f>
        <v>2</v>
      </c>
    </row>
    <row r="12" spans="1:4" x14ac:dyDescent="0.3">
      <c r="B12" s="33" t="s">
        <v>231</v>
      </c>
      <c r="C12" s="34">
        <f>SUM(C5:C11)</f>
        <v>45</v>
      </c>
    </row>
    <row r="14" spans="1:4" ht="21.75" customHeight="1" x14ac:dyDescent="0.3">
      <c r="A14" s="55" t="s">
        <v>232</v>
      </c>
      <c r="B14" s="55"/>
      <c r="C14" s="55"/>
      <c r="D14" s="55"/>
    </row>
    <row r="15" spans="1:4" x14ac:dyDescent="0.3">
      <c r="B15" s="24" t="s">
        <v>233</v>
      </c>
      <c r="C15" s="24" t="s">
        <v>230</v>
      </c>
    </row>
    <row r="16" spans="1:4" x14ac:dyDescent="0.3">
      <c r="B16" s="35" t="s">
        <v>17</v>
      </c>
      <c r="C16" s="26">
        <f>COUNTIF('Матрица атрибутов'!$H$3:$H$47,"Высокий")</f>
        <v>9</v>
      </c>
    </row>
    <row r="17" spans="1:4" x14ac:dyDescent="0.3">
      <c r="B17" s="36" t="s">
        <v>28</v>
      </c>
      <c r="C17" s="26">
        <f>COUNTIF('Матрица атрибутов'!$H$3:$H$47,"Средний")</f>
        <v>11</v>
      </c>
    </row>
    <row r="18" spans="1:4" x14ac:dyDescent="0.3">
      <c r="B18" s="37" t="s">
        <v>119</v>
      </c>
      <c r="C18" s="26">
        <f>COUNTIF('Матрица атрибутов'!$H$3:$H$47,"Низкий")</f>
        <v>7</v>
      </c>
    </row>
    <row r="19" spans="1:4" x14ac:dyDescent="0.3">
      <c r="B19" s="38" t="s">
        <v>162</v>
      </c>
      <c r="C19" s="26">
        <f>COUNTIF('Матрица атрибутов'!$H$3:$H$47,"Не брать")</f>
        <v>6</v>
      </c>
    </row>
    <row r="20" spans="1:4" x14ac:dyDescent="0.3">
      <c r="B20" s="39" t="s">
        <v>98</v>
      </c>
      <c r="C20" s="26">
        <f>COUNTIF('Матрица атрибутов'!$H$3:$H$47,"Подумать / уточнить")</f>
        <v>10</v>
      </c>
    </row>
    <row r="21" spans="1:4" x14ac:dyDescent="0.3">
      <c r="B21" s="40" t="s">
        <v>148</v>
      </c>
      <c r="C21" s="26">
        <f>COUNTIF('Матрица атрибутов'!$H$3:$H$47,"Технический")</f>
        <v>2</v>
      </c>
    </row>
    <row r="22" spans="1:4" x14ac:dyDescent="0.3">
      <c r="B22" s="33" t="s">
        <v>231</v>
      </c>
      <c r="C22" s="34">
        <f>SUM(C16:C21)</f>
        <v>45</v>
      </c>
    </row>
    <row r="24" spans="1:4" ht="21.75" customHeight="1" x14ac:dyDescent="0.3">
      <c r="A24" s="56" t="s">
        <v>234</v>
      </c>
      <c r="B24" s="56"/>
      <c r="C24" s="56"/>
      <c r="D24" s="56"/>
    </row>
    <row r="25" spans="1:4" x14ac:dyDescent="0.3">
      <c r="A25" s="41" t="s">
        <v>0</v>
      </c>
      <c r="B25" s="41" t="s">
        <v>1</v>
      </c>
      <c r="C25" s="52" t="s">
        <v>235</v>
      </c>
      <c r="D25" s="52"/>
    </row>
    <row r="26" spans="1:4" ht="33.75" customHeight="1" x14ac:dyDescent="0.3">
      <c r="A26" s="2">
        <v>1</v>
      </c>
      <c r="B26" s="42" t="s">
        <v>11</v>
      </c>
      <c r="C26" s="48" t="s">
        <v>236</v>
      </c>
      <c r="D26" s="48"/>
    </row>
    <row r="27" spans="1:4" ht="33.75" customHeight="1" x14ac:dyDescent="0.3">
      <c r="A27" s="2">
        <v>2</v>
      </c>
      <c r="B27" s="42" t="s">
        <v>237</v>
      </c>
      <c r="C27" s="48" t="s">
        <v>238</v>
      </c>
      <c r="D27" s="48"/>
    </row>
    <row r="28" spans="1:4" ht="33.75" customHeight="1" x14ac:dyDescent="0.3">
      <c r="A28" s="2">
        <v>3</v>
      </c>
      <c r="B28" s="42" t="s">
        <v>30</v>
      </c>
      <c r="C28" s="48" t="s">
        <v>239</v>
      </c>
      <c r="D28" s="48"/>
    </row>
    <row r="29" spans="1:4" ht="33.75" customHeight="1" x14ac:dyDescent="0.3">
      <c r="A29" s="2">
        <v>4</v>
      </c>
      <c r="B29" s="42" t="s">
        <v>240</v>
      </c>
      <c r="C29" s="48" t="s">
        <v>241</v>
      </c>
      <c r="D29" s="48"/>
    </row>
    <row r="30" spans="1:4" ht="33.75" customHeight="1" x14ac:dyDescent="0.3">
      <c r="A30" s="2">
        <v>5</v>
      </c>
      <c r="B30" s="42" t="s">
        <v>242</v>
      </c>
      <c r="C30" s="48" t="s">
        <v>243</v>
      </c>
      <c r="D30" s="48"/>
    </row>
    <row r="31" spans="1:4" ht="33.75" customHeight="1" x14ac:dyDescent="0.3">
      <c r="A31" s="2">
        <v>6</v>
      </c>
      <c r="B31" s="42" t="s">
        <v>61</v>
      </c>
      <c r="C31" s="48" t="s">
        <v>244</v>
      </c>
      <c r="D31" s="48"/>
    </row>
    <row r="32" spans="1:4" ht="33.75" customHeight="1" x14ac:dyDescent="0.3">
      <c r="A32" s="2">
        <v>7</v>
      </c>
      <c r="B32" s="42" t="s">
        <v>66</v>
      </c>
      <c r="C32" s="48" t="s">
        <v>245</v>
      </c>
      <c r="D32" s="48"/>
    </row>
    <row r="33" spans="1:4" ht="33.75" customHeight="1" x14ac:dyDescent="0.3">
      <c r="A33" s="2">
        <v>8</v>
      </c>
      <c r="B33" s="42" t="s">
        <v>246</v>
      </c>
      <c r="C33" s="48" t="s">
        <v>247</v>
      </c>
      <c r="D33" s="48"/>
    </row>
    <row r="34" spans="1:4" ht="33.75" customHeight="1" x14ac:dyDescent="0.3">
      <c r="A34" s="2">
        <v>9</v>
      </c>
      <c r="B34" s="42" t="s">
        <v>248</v>
      </c>
      <c r="C34" s="48" t="s">
        <v>249</v>
      </c>
      <c r="D34" s="48"/>
    </row>
    <row r="35" spans="1:4" ht="33.75" customHeight="1" x14ac:dyDescent="0.3">
      <c r="A35" s="2">
        <v>10</v>
      </c>
      <c r="B35" s="42" t="s">
        <v>250</v>
      </c>
      <c r="C35" s="48" t="s">
        <v>251</v>
      </c>
      <c r="D35" s="48"/>
    </row>
    <row r="37" spans="1:4" ht="21.75" customHeight="1" x14ac:dyDescent="0.3">
      <c r="A37" s="51" t="s">
        <v>252</v>
      </c>
      <c r="B37" s="51"/>
      <c r="C37" s="51"/>
      <c r="D37" s="51"/>
    </row>
    <row r="38" spans="1:4" ht="27.75" customHeight="1" x14ac:dyDescent="0.3">
      <c r="B38" s="43" t="s">
        <v>253</v>
      </c>
      <c r="C38" s="48" t="s">
        <v>254</v>
      </c>
      <c r="D38" s="48"/>
    </row>
    <row r="39" spans="1:4" ht="27.75" customHeight="1" x14ac:dyDescent="0.3">
      <c r="B39" s="43" t="s">
        <v>255</v>
      </c>
      <c r="C39" s="48" t="s">
        <v>256</v>
      </c>
      <c r="D39" s="48"/>
    </row>
    <row r="40" spans="1:4" ht="27.75" customHeight="1" x14ac:dyDescent="0.3">
      <c r="B40" s="43" t="s">
        <v>257</v>
      </c>
      <c r="C40" s="48" t="s">
        <v>258</v>
      </c>
      <c r="D40" s="48"/>
    </row>
    <row r="41" spans="1:4" ht="27.75" customHeight="1" x14ac:dyDescent="0.3">
      <c r="B41" s="43" t="s">
        <v>259</v>
      </c>
      <c r="C41" s="48" t="s">
        <v>260</v>
      </c>
      <c r="D41" s="48"/>
    </row>
    <row r="42" spans="1:4" ht="27.75" customHeight="1" x14ac:dyDescent="0.3">
      <c r="B42" s="43" t="s">
        <v>261</v>
      </c>
      <c r="C42" s="48" t="s">
        <v>262</v>
      </c>
      <c r="D42" s="48"/>
    </row>
    <row r="44" spans="1:4" ht="21.75" customHeight="1" x14ac:dyDescent="0.3">
      <c r="A44" s="50" t="s">
        <v>263</v>
      </c>
      <c r="B44" s="50"/>
      <c r="C44" s="50"/>
      <c r="D44" s="50"/>
    </row>
    <row r="45" spans="1:4" ht="27.75" customHeight="1" x14ac:dyDescent="0.3">
      <c r="B45" s="44" t="s">
        <v>264</v>
      </c>
      <c r="C45" s="48" t="s">
        <v>265</v>
      </c>
      <c r="D45" s="48"/>
    </row>
    <row r="46" spans="1:4" ht="27.75" customHeight="1" x14ac:dyDescent="0.3">
      <c r="B46" s="44" t="s">
        <v>266</v>
      </c>
      <c r="C46" s="48" t="s">
        <v>267</v>
      </c>
      <c r="D46" s="48"/>
    </row>
    <row r="47" spans="1:4" ht="27.75" customHeight="1" x14ac:dyDescent="0.3">
      <c r="B47" s="44" t="s">
        <v>268</v>
      </c>
      <c r="C47" s="48" t="s">
        <v>269</v>
      </c>
      <c r="D47" s="48"/>
    </row>
    <row r="48" spans="1:4" ht="27.75" customHeight="1" x14ac:dyDescent="0.3">
      <c r="B48" s="44" t="s">
        <v>270</v>
      </c>
      <c r="C48" s="48" t="s">
        <v>271</v>
      </c>
      <c r="D48" s="48"/>
    </row>
    <row r="50" spans="1:4" ht="48" customHeight="1" x14ac:dyDescent="0.3">
      <c r="A50" s="49" t="s">
        <v>272</v>
      </c>
      <c r="B50" s="49"/>
      <c r="C50" s="49"/>
      <c r="D50" s="49"/>
    </row>
    <row r="51" spans="1:4" ht="48" customHeight="1" x14ac:dyDescent="0.3">
      <c r="A51" s="49" t="s">
        <v>273</v>
      </c>
      <c r="B51" s="49"/>
      <c r="C51" s="49"/>
      <c r="D51" s="49"/>
    </row>
  </sheetData>
  <mergeCells count="29">
    <mergeCell ref="A1:D1"/>
    <mergeCell ref="A2:D2"/>
    <mergeCell ref="A3:D3"/>
    <mergeCell ref="A14:D14"/>
    <mergeCell ref="A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A37:D37"/>
    <mergeCell ref="C38:D38"/>
    <mergeCell ref="C39:D39"/>
    <mergeCell ref="C40:D40"/>
    <mergeCell ref="C47:D47"/>
    <mergeCell ref="C48:D48"/>
    <mergeCell ref="A50:D50"/>
    <mergeCell ref="A51:D51"/>
    <mergeCell ref="C41:D41"/>
    <mergeCell ref="C42:D42"/>
    <mergeCell ref="A44:D44"/>
    <mergeCell ref="C45:D45"/>
    <mergeCell ref="C46:D4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tabSelected="1" zoomScaleNormal="100" workbookViewId="0">
      <selection activeCell="A3" sqref="A3:B3"/>
    </sheetView>
  </sheetViews>
  <sheetFormatPr defaultColWidth="8.6640625" defaultRowHeight="14.4" x14ac:dyDescent="0.3"/>
  <cols>
    <col min="1" max="1" width="3" customWidth="1"/>
    <col min="2" max="2" width="100" customWidth="1"/>
  </cols>
  <sheetData>
    <row r="1" spans="1:2" ht="25.5" customHeight="1" x14ac:dyDescent="0.3">
      <c r="A1" s="53" t="s">
        <v>285</v>
      </c>
      <c r="B1" s="53"/>
    </row>
    <row r="3" spans="1:2" ht="19.5" customHeight="1" x14ac:dyDescent="0.3">
      <c r="A3" s="57" t="s">
        <v>275</v>
      </c>
      <c r="B3" s="57"/>
    </row>
    <row r="4" spans="1:2" ht="43.5" customHeight="1" x14ac:dyDescent="0.3">
      <c r="A4" s="45" t="s">
        <v>274</v>
      </c>
      <c r="B4" s="46" t="s">
        <v>276</v>
      </c>
    </row>
    <row r="5" spans="1:2" ht="18" customHeight="1" x14ac:dyDescent="0.3">
      <c r="A5" s="45" t="s">
        <v>274</v>
      </c>
      <c r="B5" s="46" t="s">
        <v>277</v>
      </c>
    </row>
    <row r="6" spans="1:2" ht="30" customHeight="1" x14ac:dyDescent="0.3">
      <c r="A6" s="45" t="s">
        <v>274</v>
      </c>
      <c r="B6" s="46" t="s">
        <v>278</v>
      </c>
    </row>
    <row r="7" spans="1:2" ht="43.5" customHeight="1" x14ac:dyDescent="0.3">
      <c r="A7" s="45" t="s">
        <v>274</v>
      </c>
      <c r="B7" s="46" t="s">
        <v>279</v>
      </c>
    </row>
    <row r="8" spans="1:2" ht="18" customHeight="1" x14ac:dyDescent="0.3">
      <c r="A8" s="45" t="s">
        <v>274</v>
      </c>
      <c r="B8" s="46" t="s">
        <v>280</v>
      </c>
    </row>
    <row r="9" spans="1:2" ht="18" customHeight="1" x14ac:dyDescent="0.3">
      <c r="A9" s="45" t="s">
        <v>274</v>
      </c>
      <c r="B9" s="46" t="s">
        <v>281</v>
      </c>
    </row>
    <row r="10" spans="1:2" ht="30" customHeight="1" x14ac:dyDescent="0.3">
      <c r="A10" s="45" t="s">
        <v>274</v>
      </c>
      <c r="B10" s="46" t="s">
        <v>282</v>
      </c>
    </row>
    <row r="11" spans="1:2" ht="43.5" customHeight="1" x14ac:dyDescent="0.3">
      <c r="A11" s="45" t="s">
        <v>274</v>
      </c>
      <c r="B11" s="46" t="s">
        <v>283</v>
      </c>
    </row>
  </sheetData>
  <mergeCells count="2">
    <mergeCell ref="A3:B3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Матрица атрибутов</vt:lpstr>
      <vt:lpstr>Итоги и Топ-10</vt:lpstr>
      <vt:lpstr>Вопросы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Dmitry Akimov</cp:lastModifiedBy>
  <cp:revision>0</cp:revision>
  <dcterms:created xsi:type="dcterms:W3CDTF">2026-06-01T08:40:39Z</dcterms:created>
  <dcterms:modified xsi:type="dcterms:W3CDTF">2026-06-01T09:00:56Z</dcterms:modified>
  <dc:language>en-US</dc:language>
</cp:coreProperties>
</file>